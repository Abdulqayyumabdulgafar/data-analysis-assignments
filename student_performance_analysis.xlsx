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25C62FC6-C3A5-EF41-A7A4-3E1C8490F27C}" xr6:coauthVersionLast="47" xr6:coauthVersionMax="47" xr10:uidLastSave="{00000000-0000-0000-0000-000000000000}"/>
  <bookViews>
    <workbookView xWindow="780" yWindow="1000" windowWidth="27640" windowHeight="15560" xr2:uid="{6FD97834-08BD-1247-B71B-9C51B8227992}"/>
  </bookViews>
  <sheets>
    <sheet name="Raw_Data" sheetId="1" r:id="rId1"/>
    <sheet name="Insights" sheetId="3" r:id="rId2"/>
    <sheet name="Analysi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F3" i="1"/>
  <c r="F4" i="1"/>
  <c r="F5" i="1"/>
  <c r="F6" i="1"/>
  <c r="F7" i="1"/>
  <c r="F8" i="1"/>
  <c r="F9" i="1"/>
  <c r="F2" i="1"/>
  <c r="B5" i="2"/>
  <c r="B4" i="2"/>
  <c r="B2" i="2"/>
  <c r="B1" i="2"/>
</calcChain>
</file>

<file path=xl/sharedStrings.xml><?xml version="1.0" encoding="utf-8"?>
<sst xmlns="http://schemas.openxmlformats.org/spreadsheetml/2006/main" count="31" uniqueCount="25">
  <si>
    <t>Student_ID</t>
  </si>
  <si>
    <t>Gender</t>
  </si>
  <si>
    <t>Math_Score</t>
  </si>
  <si>
    <t>English_Score</t>
  </si>
  <si>
    <t>Attendance</t>
  </si>
  <si>
    <t>S001</t>
  </si>
  <si>
    <t>Male</t>
  </si>
  <si>
    <t>S002</t>
  </si>
  <si>
    <t>Female</t>
  </si>
  <si>
    <t>S003</t>
  </si>
  <si>
    <t>S004</t>
  </si>
  <si>
    <t>S005</t>
  </si>
  <si>
    <t>S006</t>
  </si>
  <si>
    <t>S007</t>
  </si>
  <si>
    <t>S008</t>
  </si>
  <si>
    <t>Average Math Score</t>
  </si>
  <si>
    <t>Average English Score</t>
  </si>
  <si>
    <t>Highest Math Score</t>
  </si>
  <si>
    <t>Lowest Math Score</t>
  </si>
  <si>
    <t>Status</t>
  </si>
  <si>
    <t>Number of Passes</t>
  </si>
  <si>
    <t>Number of Fails</t>
  </si>
  <si>
    <t>The average Math score is 69.5, while the average English score is 74.25</t>
  </si>
  <si>
    <r>
      <t xml:space="preserve">Students with attendance above </t>
    </r>
    <r>
      <rPr>
        <b/>
        <sz val="12"/>
        <color theme="1"/>
        <rFont val="Calibri"/>
        <family val="2"/>
        <scheme val="minor"/>
      </rPr>
      <t>80%</t>
    </r>
    <r>
      <rPr>
        <sz val="12"/>
        <color theme="1"/>
        <rFont val="Calibri"/>
        <family val="2"/>
        <scheme val="minor"/>
      </rPr>
      <t xml:space="preserve"> generally performed better.</t>
    </r>
  </si>
  <si>
    <t>Overall pass rate is higher than fail rate, indicating good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</si>
</sst>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Student Score Comparison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Raw_Data!$C$1</c:f>
              <c:strCache>
                <c:ptCount val="1"/>
                <c:pt idx="0">
                  <c:v>Math_Score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Raw_Data!$C$2:$C$9</c:f>
              <c:numCache>
                <c:formatCode>General</c:formatCode>
                <c:ptCount val="8"/>
                <c:pt idx="0">
                  <c:v>78</c:v>
                </c:pt>
                <c:pt idx="1">
                  <c:v>65</c:v>
                </c:pt>
                <c:pt idx="2">
                  <c:v>90</c:v>
                </c:pt>
                <c:pt idx="3">
                  <c:v>55</c:v>
                </c:pt>
                <c:pt idx="4">
                  <c:v>72</c:v>
                </c:pt>
                <c:pt idx="5">
                  <c:v>40</c:v>
                </c:pt>
                <c:pt idx="6">
                  <c:v>88</c:v>
                </c:pt>
                <c:pt idx="7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4-3545-A797-8536EA93C009}"/>
            </c:ext>
          </c:extLst>
        </c:ser>
        <c:ser>
          <c:idx val="1"/>
          <c:order val="1"/>
          <c:tx>
            <c:strRef>
              <c:f>Raw_Data!$D$1</c:f>
              <c:strCache>
                <c:ptCount val="1"/>
                <c:pt idx="0">
                  <c:v>English_Score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Raw_Data!$D$2:$D$9</c:f>
              <c:numCache>
                <c:formatCode>General</c:formatCode>
                <c:ptCount val="8"/>
                <c:pt idx="0">
                  <c:v>85</c:v>
                </c:pt>
                <c:pt idx="1">
                  <c:v>70</c:v>
                </c:pt>
                <c:pt idx="2">
                  <c:v>88</c:v>
                </c:pt>
                <c:pt idx="3">
                  <c:v>60</c:v>
                </c:pt>
                <c:pt idx="4">
                  <c:v>75</c:v>
                </c:pt>
                <c:pt idx="5">
                  <c:v>50</c:v>
                </c:pt>
                <c:pt idx="6">
                  <c:v>92</c:v>
                </c:pt>
                <c:pt idx="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94-3545-A797-8536EA93C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4494240"/>
        <c:axId val="944428896"/>
      </c:barChart>
      <c:catAx>
        <c:axId val="944494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44428896"/>
        <c:crosses val="autoZero"/>
        <c:auto val="1"/>
        <c:lblAlgn val="ctr"/>
        <c:lblOffset val="100"/>
        <c:noMultiLvlLbl val="0"/>
      </c:catAx>
      <c:valAx>
        <c:axId val="9444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4449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755650</xdr:colOff>
      <xdr:row>10</xdr:row>
      <xdr:rowOff>31750</xdr:rowOff>
    </xdr:from>
    <xdr:to>
      <xdr:col>13</xdr:col>
      <xdr:colOff>374650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EF695D-2D0D-B69A-19FE-07EAC68DA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3E4F-B477-B04E-AC05-4AFFA977343B}">
  <dimension ref="A1:F9"/>
  <sheetViews>
    <sheetView tabSelected="1" workbookViewId="0">
      <selection activeCell="D1" activeCellId="1" sqref="C1:C1048576 D1:D1048576"/>
    </sheetView>
  </sheetViews>
  <sheetFormatPr baseColWidth="10" defaultRowHeight="16" x14ac:dyDescent="0.2"/>
  <cols>
    <col min="1" max="1" width="10.1640625" bestFit="1" customWidth="1"/>
    <col min="2" max="2" width="7.1640625" bestFit="1" customWidth="1"/>
    <col min="3" max="3" width="11" bestFit="1" customWidth="1"/>
    <col min="4" max="4" width="12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</row>
    <row r="2" spans="1:6" x14ac:dyDescent="0.2">
      <c r="A2" t="s">
        <v>5</v>
      </c>
      <c r="B2" t="s">
        <v>6</v>
      </c>
      <c r="C2">
        <v>78</v>
      </c>
      <c r="D2">
        <v>85</v>
      </c>
      <c r="E2">
        <v>90</v>
      </c>
      <c r="F2" t="str">
        <f>IF(C2&gt;=50,"Pass","Fail")</f>
        <v>Pass</v>
      </c>
    </row>
    <row r="3" spans="1:6" x14ac:dyDescent="0.2">
      <c r="A3" t="s">
        <v>7</v>
      </c>
      <c r="B3" t="s">
        <v>8</v>
      </c>
      <c r="C3">
        <v>65</v>
      </c>
      <c r="D3">
        <v>70</v>
      </c>
      <c r="E3">
        <v>80</v>
      </c>
      <c r="F3" t="str">
        <f t="shared" ref="F3:F9" si="0">IF(C3&gt;=50,"Pass","Fail")</f>
        <v>Pass</v>
      </c>
    </row>
    <row r="4" spans="1:6" x14ac:dyDescent="0.2">
      <c r="A4" t="s">
        <v>9</v>
      </c>
      <c r="B4" t="s">
        <v>6</v>
      </c>
      <c r="C4">
        <v>90</v>
      </c>
      <c r="D4">
        <v>88</v>
      </c>
      <c r="E4">
        <v>95</v>
      </c>
      <c r="F4" t="str">
        <f t="shared" si="0"/>
        <v>Pass</v>
      </c>
    </row>
    <row r="5" spans="1:6" x14ac:dyDescent="0.2">
      <c r="A5" t="s">
        <v>10</v>
      </c>
      <c r="B5" t="s">
        <v>8</v>
      </c>
      <c r="C5">
        <v>55</v>
      </c>
      <c r="D5">
        <v>60</v>
      </c>
      <c r="E5">
        <v>65</v>
      </c>
      <c r="F5" t="str">
        <f t="shared" si="0"/>
        <v>Pass</v>
      </c>
    </row>
    <row r="6" spans="1:6" x14ac:dyDescent="0.2">
      <c r="A6" t="s">
        <v>11</v>
      </c>
      <c r="B6" t="s">
        <v>6</v>
      </c>
      <c r="C6">
        <v>72</v>
      </c>
      <c r="D6">
        <v>75</v>
      </c>
      <c r="E6">
        <v>85</v>
      </c>
      <c r="F6" t="str">
        <f t="shared" si="0"/>
        <v>Pass</v>
      </c>
    </row>
    <row r="7" spans="1:6" x14ac:dyDescent="0.2">
      <c r="A7" t="s">
        <v>12</v>
      </c>
      <c r="B7" t="s">
        <v>8</v>
      </c>
      <c r="C7">
        <v>40</v>
      </c>
      <c r="D7">
        <v>50</v>
      </c>
      <c r="E7">
        <v>60</v>
      </c>
      <c r="F7" t="str">
        <f t="shared" si="0"/>
        <v>Fail</v>
      </c>
    </row>
    <row r="8" spans="1:6" x14ac:dyDescent="0.2">
      <c r="A8" t="s">
        <v>13</v>
      </c>
      <c r="B8" t="s">
        <v>6</v>
      </c>
      <c r="C8">
        <v>88</v>
      </c>
      <c r="D8">
        <v>92</v>
      </c>
      <c r="E8">
        <v>98</v>
      </c>
      <c r="F8" t="str">
        <f t="shared" si="0"/>
        <v>Pass</v>
      </c>
    </row>
    <row r="9" spans="1:6" x14ac:dyDescent="0.2">
      <c r="A9" t="s">
        <v>14</v>
      </c>
      <c r="B9" t="s">
        <v>8</v>
      </c>
      <c r="C9">
        <v>68</v>
      </c>
      <c r="D9">
        <v>74</v>
      </c>
      <c r="E9">
        <v>82</v>
      </c>
      <c r="F9" t="str">
        <f t="shared" si="0"/>
        <v>Pass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13E1-DBFD-8844-9AEA-79BB9C85D89C}">
  <dimension ref="A1:A3"/>
  <sheetViews>
    <sheetView workbookViewId="0">
      <selection activeCell="A3" sqref="A3"/>
    </sheetView>
  </sheetViews>
  <sheetFormatPr baseColWidth="10" defaultRowHeight="16" x14ac:dyDescent="0.2"/>
  <cols>
    <col min="1" max="1" width="61.83203125" customWidth="1"/>
    <col min="4" max="4" width="10.83203125" customWidth="1"/>
  </cols>
  <sheetData>
    <row r="1" spans="1:1" x14ac:dyDescent="0.2">
      <c r="A1" t="s">
        <v>22</v>
      </c>
    </row>
    <row r="2" spans="1:1" x14ac:dyDescent="0.2">
      <c r="A2" t="s">
        <v>23</v>
      </c>
    </row>
    <row r="3" spans="1:1" x14ac:dyDescent="0.2">
      <c r="A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135D-E3CA-6B49-82BE-343EA5183B91}">
  <dimension ref="A1:B8"/>
  <sheetViews>
    <sheetView workbookViewId="0">
      <selection activeCell="B9" sqref="B9"/>
    </sheetView>
  </sheetViews>
  <sheetFormatPr baseColWidth="10" defaultRowHeight="16" x14ac:dyDescent="0.2"/>
  <cols>
    <col min="1" max="1" width="19.33203125" bestFit="1" customWidth="1"/>
  </cols>
  <sheetData>
    <row r="1" spans="1:2" x14ac:dyDescent="0.2">
      <c r="A1" t="s">
        <v>15</v>
      </c>
      <c r="B1">
        <f>AVERAGE(Raw_Data!C2:C9)</f>
        <v>69.5</v>
      </c>
    </row>
    <row r="2" spans="1:2" x14ac:dyDescent="0.2">
      <c r="A2" t="s">
        <v>16</v>
      </c>
      <c r="B2">
        <f>AVERAGE(Raw_Data!D2:D9)</f>
        <v>74.25</v>
      </c>
    </row>
    <row r="4" spans="1:2" x14ac:dyDescent="0.2">
      <c r="A4" t="s">
        <v>17</v>
      </c>
      <c r="B4">
        <f>MAX(Raw_Data!C2:C9)</f>
        <v>90</v>
      </c>
    </row>
    <row r="5" spans="1:2" x14ac:dyDescent="0.2">
      <c r="A5" t="s">
        <v>18</v>
      </c>
      <c r="B5">
        <f>MIN(Raw_Data!C2:C9)</f>
        <v>40</v>
      </c>
    </row>
    <row r="7" spans="1:2" x14ac:dyDescent="0.2">
      <c r="A7" t="s">
        <v>20</v>
      </c>
      <c r="B7">
        <f>COUNTIF(Raw_Data!F2:F9, "Pass")</f>
        <v>7</v>
      </c>
    </row>
    <row r="8" spans="1:2" x14ac:dyDescent="0.2">
      <c r="A8" t="s">
        <v>21</v>
      </c>
      <c r="B8">
        <f>COUNTIF(Raw_Data!F3:F10, "Fail")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Insights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QUANTUM</dc:creator>
  <cp:lastModifiedBy>QUANTUM</cp:lastModifiedBy>
  <dcterms:created xsi:type="dcterms:W3CDTF">2026-01-29T01:10:34Z</dcterms:created>
  <dcterms:modified xsi:type="dcterms:W3CDTF">2026-01-29T01:35:53Z</dcterms:modified>
</cp:coreProperties>
</file>